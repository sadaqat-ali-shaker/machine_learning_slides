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Dr Hafeez\Desktop\Semesters\25\FA2025\ML\Sessional -1\"/>
    </mc:Choice>
  </mc:AlternateContent>
  <xr:revisionPtr revIDLastSave="0" documentId="13_ncr:1_{2BE006E7-E6C4-40E2-8BA6-A29AB472EB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F46" i="2"/>
  <c r="F47" i="2"/>
  <c r="F48" i="2"/>
  <c r="F45" i="2"/>
  <c r="F36" i="2"/>
  <c r="F37" i="2"/>
  <c r="F38" i="2"/>
  <c r="F35" i="2"/>
  <c r="F26" i="2"/>
  <c r="F27" i="2"/>
  <c r="F28" i="2"/>
  <c r="F25" i="2"/>
  <c r="F16" i="2"/>
  <c r="F17" i="2"/>
  <c r="F18" i="2"/>
  <c r="F15" i="2"/>
  <c r="F7" i="2"/>
  <c r="F8" i="2"/>
  <c r="F9" i="2"/>
  <c r="F6" i="2"/>
  <c r="E48" i="2"/>
  <c r="G48" i="2" s="1"/>
  <c r="E47" i="2"/>
  <c r="G47" i="2" s="1"/>
  <c r="E46" i="2"/>
  <c r="G46" i="2" s="1"/>
  <c r="E45" i="2"/>
  <c r="E38" i="2"/>
  <c r="G38" i="2" s="1"/>
  <c r="E37" i="2"/>
  <c r="G37" i="2" s="1"/>
  <c r="E36" i="2"/>
  <c r="G36" i="2" s="1"/>
  <c r="E35" i="2"/>
  <c r="E28" i="2"/>
  <c r="G28" i="2" s="1"/>
  <c r="E27" i="2"/>
  <c r="G27" i="2" s="1"/>
  <c r="E26" i="2"/>
  <c r="G26" i="2" s="1"/>
  <c r="E25" i="2"/>
  <c r="E18" i="2"/>
  <c r="G18" i="2" s="1"/>
  <c r="E17" i="2"/>
  <c r="G17" i="2" s="1"/>
  <c r="E16" i="2"/>
  <c r="G16" i="2" s="1"/>
  <c r="E9" i="2"/>
  <c r="G9" i="2" s="1"/>
  <c r="E8" i="2"/>
  <c r="E7" i="2"/>
  <c r="G7" i="2" s="1"/>
  <c r="H7" i="2" s="1"/>
  <c r="E6" i="2"/>
  <c r="G45" i="2" l="1"/>
  <c r="G35" i="2"/>
  <c r="G25" i="2"/>
  <c r="G8" i="2"/>
  <c r="H8" i="2" s="1"/>
  <c r="G6" i="2"/>
  <c r="H6" i="2" s="1"/>
  <c r="K46" i="2"/>
  <c r="I46" i="2"/>
  <c r="H46" i="2"/>
  <c r="K47" i="2"/>
  <c r="I47" i="2"/>
  <c r="H47" i="2"/>
  <c r="I45" i="2"/>
  <c r="J45" i="2" s="1"/>
  <c r="M46" i="2" s="1"/>
  <c r="O45" i="2" s="1"/>
  <c r="H45" i="2"/>
  <c r="K45" i="2"/>
  <c r="I48" i="2"/>
  <c r="H48" i="2"/>
  <c r="K48" i="2"/>
  <c r="K35" i="2"/>
  <c r="I35" i="2"/>
  <c r="H35" i="2"/>
  <c r="I36" i="2"/>
  <c r="H36" i="2"/>
  <c r="K36" i="2"/>
  <c r="I37" i="2"/>
  <c r="H37" i="2"/>
  <c r="K37" i="2"/>
  <c r="K38" i="2"/>
  <c r="H38" i="2"/>
  <c r="I38" i="2"/>
  <c r="I26" i="2"/>
  <c r="H26" i="2"/>
  <c r="K26" i="2"/>
  <c r="I27" i="2"/>
  <c r="H27" i="2"/>
  <c r="K27" i="2"/>
  <c r="K25" i="2"/>
  <c r="I25" i="2"/>
  <c r="H25" i="2"/>
  <c r="K28" i="2"/>
  <c r="I28" i="2"/>
  <c r="H28" i="2"/>
  <c r="G15" i="2"/>
  <c r="I15" i="2" s="1"/>
  <c r="H16" i="2"/>
  <c r="K16" i="2"/>
  <c r="I16" i="2"/>
  <c r="H17" i="2"/>
  <c r="K17" i="2"/>
  <c r="I17" i="2"/>
  <c r="K15" i="2"/>
  <c r="K18" i="2"/>
  <c r="I18" i="2"/>
  <c r="H18" i="2"/>
  <c r="H9" i="2"/>
  <c r="K9" i="2"/>
  <c r="K8" i="2"/>
  <c r="K7" i="2"/>
  <c r="I9" i="2"/>
  <c r="I8" i="2"/>
  <c r="I7" i="2"/>
  <c r="J25" i="2" l="1"/>
  <c r="M26" i="2" s="1"/>
  <c r="O25" i="2" s="1"/>
  <c r="L25" i="2"/>
  <c r="N26" i="2" s="1"/>
  <c r="P25" i="2" s="1"/>
  <c r="J15" i="2"/>
  <c r="M16" i="2" s="1"/>
  <c r="O15" i="2" s="1"/>
  <c r="H15" i="2"/>
  <c r="K6" i="2"/>
  <c r="I6" i="2"/>
  <c r="H49" i="2"/>
  <c r="L45" i="2"/>
  <c r="N46" i="2" s="1"/>
  <c r="P45" i="2" s="1"/>
  <c r="L35" i="2"/>
  <c r="N36" i="2" s="1"/>
  <c r="P35" i="2" s="1"/>
  <c r="H39" i="2"/>
  <c r="J35" i="2"/>
  <c r="M36" i="2" s="1"/>
  <c r="O35" i="2" s="1"/>
  <c r="H29" i="2"/>
  <c r="H19" i="2"/>
  <c r="L15" i="2"/>
  <c r="N16" i="2" s="1"/>
  <c r="P15" i="2" s="1"/>
  <c r="L6" i="2"/>
  <c r="N7" i="2" s="1"/>
  <c r="P6" i="2" s="1"/>
  <c r="H10" i="2"/>
  <c r="J6" i="2"/>
  <c r="M7" i="2" s="1"/>
  <c r="O6" i="2" l="1"/>
</calcChain>
</file>

<file path=xl/sharedStrings.xml><?xml version="1.0" encoding="utf-8"?>
<sst xmlns="http://schemas.openxmlformats.org/spreadsheetml/2006/main" count="75" uniqueCount="15">
  <si>
    <t>sigmoid(theta*x)</t>
  </si>
  <si>
    <t>COST</t>
  </si>
  <si>
    <t>Gradient_theta_0</t>
  </si>
  <si>
    <t>Gradient_theta_1</t>
  </si>
  <si>
    <t>alpha*Gradient_theta_0</t>
  </si>
  <si>
    <t>alpha*Gradient_theta_1</t>
  </si>
  <si>
    <t>updated_theta_0</t>
  </si>
  <si>
    <t>updated_theta_1</t>
  </si>
  <si>
    <t>theta_0</t>
  </si>
  <si>
    <t>theta_1</t>
  </si>
  <si>
    <t>x0</t>
  </si>
  <si>
    <t>x1</t>
  </si>
  <si>
    <t>y</t>
  </si>
  <si>
    <t>z = thet*x</t>
  </si>
  <si>
    <t>exp(-z)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</si>
</sst>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8858-EC03-4B1D-81FF-44A0686FEBB2}">
  <dimension ref="B2:P49"/>
  <sheetViews>
    <sheetView tabSelected="1" topLeftCell="A2" workbookViewId="0">
      <selection activeCell="E16" sqref="E16"/>
    </sheetView>
  </sheetViews>
  <sheetFormatPr defaultRowHeight="14.4" x14ac:dyDescent="0.3"/>
  <cols>
    <col min="5" max="5" width="9" bestFit="1" customWidth="1"/>
    <col min="6" max="6" width="12" bestFit="1" customWidth="1"/>
    <col min="7" max="7" width="15.33203125" bestFit="1" customWidth="1"/>
    <col min="8" max="8" width="5.44140625" bestFit="1" customWidth="1"/>
    <col min="9" max="9" width="10.88671875" customWidth="1"/>
    <col min="10" max="10" width="7" bestFit="1" customWidth="1"/>
    <col min="11" max="11" width="9.109375" customWidth="1"/>
    <col min="12" max="12" width="7" bestFit="1" customWidth="1"/>
    <col min="13" max="14" width="21.6640625" bestFit="1" customWidth="1"/>
    <col min="15" max="16" width="15.6640625" bestFit="1" customWidth="1"/>
  </cols>
  <sheetData>
    <row r="2" spans="2:16" x14ac:dyDescent="0.3">
      <c r="B2" s="1" t="s">
        <v>8</v>
      </c>
      <c r="C2" s="1" t="s">
        <v>9</v>
      </c>
    </row>
    <row r="3" spans="2:16" x14ac:dyDescent="0.3">
      <c r="B3" s="10">
        <v>0.4</v>
      </c>
      <c r="C3" s="10">
        <v>-0.2</v>
      </c>
    </row>
    <row r="4" spans="2:16" ht="15" thickBot="1" x14ac:dyDescent="0.35"/>
    <row r="5" spans="2:16" ht="18" customHeight="1" thickBot="1" x14ac:dyDescent="0.35">
      <c r="B5" s="4" t="s">
        <v>10</v>
      </c>
      <c r="C5" s="5" t="s">
        <v>11</v>
      </c>
      <c r="D5" s="5" t="s">
        <v>12</v>
      </c>
      <c r="E5" s="6" t="s">
        <v>13</v>
      </c>
      <c r="F5" s="6" t="s">
        <v>14</v>
      </c>
      <c r="G5" s="6" t="s">
        <v>0</v>
      </c>
      <c r="H5" s="6" t="s">
        <v>1</v>
      </c>
      <c r="I5" s="14" t="s">
        <v>2</v>
      </c>
      <c r="J5" s="15"/>
      <c r="K5" s="14" t="s">
        <v>3</v>
      </c>
      <c r="L5" s="15"/>
      <c r="M5" s="7" t="s">
        <v>4</v>
      </c>
      <c r="N5" s="7" t="s">
        <v>5</v>
      </c>
      <c r="O5" s="7" t="s">
        <v>6</v>
      </c>
      <c r="P5" s="7" t="s">
        <v>7</v>
      </c>
    </row>
    <row r="6" spans="2:16" ht="15" thickBot="1" x14ac:dyDescent="0.35">
      <c r="B6" s="2">
        <v>1</v>
      </c>
      <c r="C6" s="3">
        <v>1</v>
      </c>
      <c r="D6" s="3">
        <v>0</v>
      </c>
      <c r="E6" s="8">
        <f>$B$3*$B$6+C3*C6</f>
        <v>0.2</v>
      </c>
      <c r="F6" s="8">
        <f>ROUND(EXP(-1*E6),2)</f>
        <v>0.82</v>
      </c>
      <c r="G6" s="8">
        <f>ROUND((1/(1+F6)),2)</f>
        <v>0.55000000000000004</v>
      </c>
      <c r="H6" s="8">
        <f>ROUND(-1*D6*(LOG(G6,10))-(1-D6)*LOG(1-G6,10),2)</f>
        <v>0.35</v>
      </c>
      <c r="I6" s="8">
        <f>B6*G6</f>
        <v>0.55000000000000004</v>
      </c>
      <c r="J6" s="17">
        <f>1/4*(SUM(I6:I9))</f>
        <v>0.47499999999999998</v>
      </c>
      <c r="K6" s="8">
        <f>C6*G6</f>
        <v>0.55000000000000004</v>
      </c>
      <c r="L6" s="18">
        <f>1/4*(SUM(K6:K9))</f>
        <v>1.125</v>
      </c>
      <c r="M6" s="16">
        <v>0.3</v>
      </c>
      <c r="N6" s="16"/>
      <c r="O6" s="11">
        <f>B3-M7</f>
        <v>0.25750000000000006</v>
      </c>
      <c r="P6" s="11">
        <f>C3-N7</f>
        <v>-0.53749999999999998</v>
      </c>
    </row>
    <row r="7" spans="2:16" ht="15" thickBot="1" x14ac:dyDescent="0.35">
      <c r="B7" s="2">
        <v>1</v>
      </c>
      <c r="C7" s="3">
        <v>2</v>
      </c>
      <c r="D7" s="3">
        <v>0</v>
      </c>
      <c r="E7" s="8">
        <f>B3*B7+C3*C7</f>
        <v>0</v>
      </c>
      <c r="F7" s="8">
        <f t="shared" ref="F7:F9" si="0">ROUND(EXP(-1*E7),2)</f>
        <v>1</v>
      </c>
      <c r="G7" s="8">
        <f>ROUND((1/(1+F7)),2)</f>
        <v>0.5</v>
      </c>
      <c r="H7" s="8">
        <f t="shared" ref="H7:H9" si="1">ROUND(-1*D7*(LOG(G7,10))-(1-D7)*LOG(1-G7,10),2)</f>
        <v>0.3</v>
      </c>
      <c r="I7" s="8">
        <f>B7*G7</f>
        <v>0.5</v>
      </c>
      <c r="J7" s="17"/>
      <c r="K7" s="8">
        <f>C7*G7</f>
        <v>1</v>
      </c>
      <c r="L7" s="18"/>
      <c r="M7" s="11">
        <f>M6*J6</f>
        <v>0.14249999999999999</v>
      </c>
      <c r="N7" s="11">
        <f>M6*L6</f>
        <v>0.33749999999999997</v>
      </c>
      <c r="O7" s="12"/>
      <c r="P7" s="12"/>
    </row>
    <row r="8" spans="2:16" ht="15" thickBot="1" x14ac:dyDescent="0.35">
      <c r="B8" s="2">
        <v>1</v>
      </c>
      <c r="C8" s="3">
        <v>3</v>
      </c>
      <c r="D8" s="3">
        <v>1</v>
      </c>
      <c r="E8" s="8">
        <f>B3*B8+C3*C8</f>
        <v>-0.20000000000000007</v>
      </c>
      <c r="F8" s="8">
        <f t="shared" si="0"/>
        <v>1.22</v>
      </c>
      <c r="G8" s="8">
        <f>ROUND((1/(1+F8)),2)</f>
        <v>0.45</v>
      </c>
      <c r="H8" s="8">
        <f t="shared" si="1"/>
        <v>0.35</v>
      </c>
      <c r="I8" s="8">
        <f>B8*G8</f>
        <v>0.45</v>
      </c>
      <c r="J8" s="17"/>
      <c r="K8" s="8">
        <f>C8*G8</f>
        <v>1.35</v>
      </c>
      <c r="L8" s="18"/>
      <c r="M8" s="12"/>
      <c r="N8" s="12"/>
      <c r="O8" s="12"/>
      <c r="P8" s="12"/>
    </row>
    <row r="9" spans="2:16" ht="15" thickBot="1" x14ac:dyDescent="0.35">
      <c r="B9" s="2">
        <v>1</v>
      </c>
      <c r="C9" s="3">
        <v>4</v>
      </c>
      <c r="D9" s="3">
        <v>1</v>
      </c>
      <c r="E9" s="8">
        <f>B3*B9+C3*C9</f>
        <v>-0.4</v>
      </c>
      <c r="F9" s="8">
        <f t="shared" si="0"/>
        <v>1.49</v>
      </c>
      <c r="G9" s="8">
        <f>ROUND((1/(1+F9)),2)</f>
        <v>0.4</v>
      </c>
      <c r="H9" s="8">
        <f t="shared" si="1"/>
        <v>0.4</v>
      </c>
      <c r="I9" s="8">
        <f>B9*G9</f>
        <v>0.4</v>
      </c>
      <c r="J9" s="17"/>
      <c r="K9" s="8">
        <f>C9*G9</f>
        <v>1.6</v>
      </c>
      <c r="L9" s="18"/>
      <c r="M9" s="13"/>
      <c r="N9" s="13"/>
      <c r="O9" s="13"/>
      <c r="P9" s="13"/>
    </row>
    <row r="10" spans="2:16" x14ac:dyDescent="0.3">
      <c r="H10" s="9">
        <f>SUM(H6:H9)</f>
        <v>1.4</v>
      </c>
    </row>
    <row r="11" spans="2:16" x14ac:dyDescent="0.3">
      <c r="B11" s="1" t="s">
        <v>8</v>
      </c>
      <c r="C11" s="1" t="s">
        <v>9</v>
      </c>
    </row>
    <row r="12" spans="2:16" x14ac:dyDescent="0.3">
      <c r="B12" s="10">
        <v>0.25750000000000001</v>
      </c>
      <c r="C12" s="10">
        <v>-0.53749999999999998</v>
      </c>
    </row>
    <row r="13" spans="2:16" ht="15" thickBot="1" x14ac:dyDescent="0.35"/>
    <row r="14" spans="2:16" ht="15" thickBot="1" x14ac:dyDescent="0.35">
      <c r="B14" s="4" t="s">
        <v>10</v>
      </c>
      <c r="C14" s="5" t="s">
        <v>11</v>
      </c>
      <c r="D14" s="5" t="s">
        <v>12</v>
      </c>
      <c r="E14" s="6" t="s">
        <v>13</v>
      </c>
      <c r="F14" s="6" t="s">
        <v>14</v>
      </c>
      <c r="G14" s="6" t="s">
        <v>0</v>
      </c>
      <c r="H14" s="6" t="s">
        <v>1</v>
      </c>
      <c r="I14" s="14" t="s">
        <v>2</v>
      </c>
      <c r="J14" s="15"/>
      <c r="K14" s="14" t="s">
        <v>3</v>
      </c>
      <c r="L14" s="15"/>
      <c r="M14" s="7" t="s">
        <v>4</v>
      </c>
      <c r="N14" s="7" t="s">
        <v>5</v>
      </c>
      <c r="O14" s="7" t="s">
        <v>6</v>
      </c>
      <c r="P14" s="7" t="s">
        <v>7</v>
      </c>
    </row>
    <row r="15" spans="2:16" ht="15" thickBot="1" x14ac:dyDescent="0.35">
      <c r="B15" s="2">
        <v>1</v>
      </c>
      <c r="C15" s="3">
        <v>1</v>
      </c>
      <c r="D15" s="3">
        <v>0</v>
      </c>
      <c r="E15" s="8">
        <f>$B$3*$B$6+C12*C15</f>
        <v>-0.13749999999999996</v>
      </c>
      <c r="F15" s="8">
        <f>ROUND(EXP(-1*E15),2)</f>
        <v>1.1499999999999999</v>
      </c>
      <c r="G15" s="8">
        <f>ROUND((1/(1+F15)),2)</f>
        <v>0.47</v>
      </c>
      <c r="H15" s="8">
        <f>ROUND(-1*D15*(LOG(G15,10))-(1-D15)*LOG(1-G15,10),2)</f>
        <v>0.28000000000000003</v>
      </c>
      <c r="I15" s="8">
        <f>B15*G15</f>
        <v>0.47</v>
      </c>
      <c r="J15" s="17">
        <f>1/4*(SUM(I15:I18))</f>
        <v>0.27749999999999997</v>
      </c>
      <c r="K15" s="8">
        <f>C15*G15</f>
        <v>0.47</v>
      </c>
      <c r="L15" s="18">
        <f>1/4*(SUM(K15:K18))</f>
        <v>0.55249999999999999</v>
      </c>
      <c r="M15" s="16">
        <v>0.3</v>
      </c>
      <c r="N15" s="16"/>
      <c r="O15" s="11">
        <f>B12-M16</f>
        <v>0.17425000000000002</v>
      </c>
      <c r="P15" s="11">
        <f>C12-N16</f>
        <v>-0.70324999999999993</v>
      </c>
    </row>
    <row r="16" spans="2:16" ht="15" thickBot="1" x14ac:dyDescent="0.35">
      <c r="B16" s="2">
        <v>1</v>
      </c>
      <c r="C16" s="3">
        <v>2</v>
      </c>
      <c r="D16" s="3">
        <v>0</v>
      </c>
      <c r="E16" s="8">
        <f>B12*B16+C12*C16</f>
        <v>-0.81749999999999989</v>
      </c>
      <c r="F16" s="8">
        <f t="shared" ref="F16:F18" si="2">ROUND(EXP(-1*E16),2)</f>
        <v>2.2599999999999998</v>
      </c>
      <c r="G16" s="8">
        <f>ROUND((1/(1+F16)),2)</f>
        <v>0.31</v>
      </c>
      <c r="H16" s="8">
        <f t="shared" ref="H16:H18" si="3">ROUND(-1*D16*(LOG(G16,10))-(1-D16)*LOG(1-G16,10),2)</f>
        <v>0.16</v>
      </c>
      <c r="I16" s="8">
        <f>B16*G16</f>
        <v>0.31</v>
      </c>
      <c r="J16" s="17"/>
      <c r="K16" s="8">
        <f>C16*G16</f>
        <v>0.62</v>
      </c>
      <c r="L16" s="18"/>
      <c r="M16" s="11">
        <f>M15*J15</f>
        <v>8.3249999999999991E-2</v>
      </c>
      <c r="N16" s="11">
        <f>M15*L15</f>
        <v>0.16574999999999998</v>
      </c>
      <c r="O16" s="12"/>
      <c r="P16" s="12"/>
    </row>
    <row r="17" spans="2:16" ht="15" thickBot="1" x14ac:dyDescent="0.35">
      <c r="B17" s="2">
        <v>1</v>
      </c>
      <c r="C17" s="3">
        <v>3</v>
      </c>
      <c r="D17" s="3">
        <v>1</v>
      </c>
      <c r="E17" s="8">
        <f>B12*B17+C12*C17</f>
        <v>-1.3549999999999998</v>
      </c>
      <c r="F17" s="8">
        <f t="shared" si="2"/>
        <v>3.88</v>
      </c>
      <c r="G17" s="8">
        <f>ROUND((1/(1+F17)),2)</f>
        <v>0.2</v>
      </c>
      <c r="H17" s="19">
        <f t="shared" si="3"/>
        <v>0.7</v>
      </c>
      <c r="I17" s="8">
        <f>B17*G17</f>
        <v>0.2</v>
      </c>
      <c r="J17" s="17"/>
      <c r="K17" s="8">
        <f>C17*G17</f>
        <v>0.60000000000000009</v>
      </c>
      <c r="L17" s="18"/>
      <c r="M17" s="12"/>
      <c r="N17" s="12"/>
      <c r="O17" s="12"/>
      <c r="P17" s="12"/>
    </row>
    <row r="18" spans="2:16" ht="15" thickBot="1" x14ac:dyDescent="0.35">
      <c r="B18" s="2">
        <v>1</v>
      </c>
      <c r="C18" s="3">
        <v>4</v>
      </c>
      <c r="D18" s="3">
        <v>1</v>
      </c>
      <c r="E18" s="8">
        <f>B12*B18+C12*C18</f>
        <v>-1.8924999999999998</v>
      </c>
      <c r="F18" s="8">
        <f t="shared" si="2"/>
        <v>6.64</v>
      </c>
      <c r="G18" s="20">
        <f>ROUND((1/(1+F18)),2)</f>
        <v>0.13</v>
      </c>
      <c r="H18" s="8">
        <f t="shared" si="3"/>
        <v>0.89</v>
      </c>
      <c r="I18" s="21">
        <f>B18*G18</f>
        <v>0.13</v>
      </c>
      <c r="J18" s="17"/>
      <c r="K18" s="8">
        <f>C18*G18</f>
        <v>0.52</v>
      </c>
      <c r="L18" s="18"/>
      <c r="M18" s="13"/>
      <c r="N18" s="13"/>
      <c r="O18" s="13"/>
      <c r="P18" s="13"/>
    </row>
    <row r="19" spans="2:16" x14ac:dyDescent="0.3">
      <c r="H19" s="22">
        <f>SUM(H15:H18)</f>
        <v>2.0300000000000002</v>
      </c>
    </row>
    <row r="21" spans="2:16" x14ac:dyDescent="0.3">
      <c r="B21" s="1" t="s">
        <v>8</v>
      </c>
      <c r="C21" s="1" t="s">
        <v>9</v>
      </c>
    </row>
    <row r="22" spans="2:16" x14ac:dyDescent="0.3">
      <c r="B22" s="10">
        <v>0.17349999999999999</v>
      </c>
      <c r="C22" s="10">
        <v>-0.70550000000000002</v>
      </c>
    </row>
    <row r="23" spans="2:16" ht="15" thickBot="1" x14ac:dyDescent="0.35"/>
    <row r="24" spans="2:16" ht="15" thickBot="1" x14ac:dyDescent="0.35">
      <c r="B24" s="4" t="s">
        <v>10</v>
      </c>
      <c r="C24" s="5" t="s">
        <v>11</v>
      </c>
      <c r="D24" s="5" t="s">
        <v>12</v>
      </c>
      <c r="E24" s="6" t="s">
        <v>13</v>
      </c>
      <c r="F24" s="6" t="s">
        <v>14</v>
      </c>
      <c r="G24" s="6" t="s">
        <v>0</v>
      </c>
      <c r="H24" s="6" t="s">
        <v>1</v>
      </c>
      <c r="I24" s="14" t="s">
        <v>2</v>
      </c>
      <c r="J24" s="15"/>
      <c r="K24" s="14" t="s">
        <v>3</v>
      </c>
      <c r="L24" s="15"/>
      <c r="M24" s="7" t="s">
        <v>4</v>
      </c>
      <c r="N24" s="7" t="s">
        <v>5</v>
      </c>
      <c r="O24" s="7" t="s">
        <v>6</v>
      </c>
      <c r="P24" s="7" t="s">
        <v>7</v>
      </c>
    </row>
    <row r="25" spans="2:16" ht="15" thickBot="1" x14ac:dyDescent="0.35">
      <c r="B25" s="2">
        <v>1</v>
      </c>
      <c r="C25" s="3">
        <v>1</v>
      </c>
      <c r="D25" s="3">
        <v>0</v>
      </c>
      <c r="E25" s="8">
        <f>$B$3*$B$6+C22*C25</f>
        <v>-0.30549999999999999</v>
      </c>
      <c r="F25" s="8">
        <f>ROUND(EXP(-1*E25),2)</f>
        <v>1.36</v>
      </c>
      <c r="G25" s="8">
        <f>ROUND((1/(1+F25)),2)</f>
        <v>0.42</v>
      </c>
      <c r="H25" s="8">
        <f>ROUND(-1*D25*(LOG(G25,10))-(1-D25)*LOG(1-G25,10),2)</f>
        <v>0.24</v>
      </c>
      <c r="I25" s="8">
        <f>B25*G25</f>
        <v>0.42</v>
      </c>
      <c r="J25" s="17">
        <f>1/4*(SUM(I25:I28))</f>
        <v>0.21000000000000002</v>
      </c>
      <c r="K25" s="8">
        <f>C25*G25</f>
        <v>0.42</v>
      </c>
      <c r="L25" s="18">
        <f>1/4*(SUM(K25:K28))</f>
        <v>0.38250000000000001</v>
      </c>
      <c r="M25" s="16">
        <v>0.3</v>
      </c>
      <c r="N25" s="16"/>
      <c r="O25" s="11">
        <f>B22-M26</f>
        <v>0.11049999999999999</v>
      </c>
      <c r="P25" s="11">
        <f>C22-N26</f>
        <v>-0.82025000000000003</v>
      </c>
    </row>
    <row r="26" spans="2:16" ht="15" thickBot="1" x14ac:dyDescent="0.35">
      <c r="B26" s="2">
        <v>1</v>
      </c>
      <c r="C26" s="3">
        <v>2</v>
      </c>
      <c r="D26" s="3">
        <v>0</v>
      </c>
      <c r="E26" s="8">
        <f>B22*B26+C22*C26</f>
        <v>-1.2375</v>
      </c>
      <c r="F26" s="8">
        <f t="shared" ref="F26:F28" si="4">ROUND(EXP(-1*E26),2)</f>
        <v>3.45</v>
      </c>
      <c r="G26" s="8">
        <f>ROUND((1/(1+F26)),2)</f>
        <v>0.22</v>
      </c>
      <c r="H26" s="8">
        <f t="shared" ref="H26:H28" si="5">ROUND(-1*D26*(LOG(G26,10))-(1-D26)*LOG(1-G26,10),2)</f>
        <v>0.11</v>
      </c>
      <c r="I26" s="8">
        <f>B26*G26</f>
        <v>0.22</v>
      </c>
      <c r="J26" s="17"/>
      <c r="K26" s="8">
        <f>C26*G26</f>
        <v>0.44</v>
      </c>
      <c r="L26" s="18"/>
      <c r="M26" s="11">
        <f>M25*J25</f>
        <v>6.3E-2</v>
      </c>
      <c r="N26" s="11">
        <f>M25*L25</f>
        <v>0.11474999999999999</v>
      </c>
      <c r="O26" s="12"/>
      <c r="P26" s="12"/>
    </row>
    <row r="27" spans="2:16" ht="15" thickBot="1" x14ac:dyDescent="0.35">
      <c r="B27" s="2">
        <v>1</v>
      </c>
      <c r="C27" s="3">
        <v>3</v>
      </c>
      <c r="D27" s="3">
        <v>1</v>
      </c>
      <c r="E27" s="8">
        <f>B22*B27+C22*C27</f>
        <v>-1.9430000000000003</v>
      </c>
      <c r="F27" s="8">
        <f t="shared" si="4"/>
        <v>6.98</v>
      </c>
      <c r="G27" s="8">
        <f>ROUND((1/(1+F27)),2)</f>
        <v>0.13</v>
      </c>
      <c r="H27" s="19">
        <f t="shared" si="5"/>
        <v>0.89</v>
      </c>
      <c r="I27" s="8">
        <f>B27*G27</f>
        <v>0.13</v>
      </c>
      <c r="J27" s="17"/>
      <c r="K27" s="8">
        <f>C27*G27</f>
        <v>0.39</v>
      </c>
      <c r="L27" s="18"/>
      <c r="M27" s="12"/>
      <c r="N27" s="12"/>
      <c r="O27" s="12"/>
      <c r="P27" s="12"/>
    </row>
    <row r="28" spans="2:16" ht="15" thickBot="1" x14ac:dyDescent="0.35">
      <c r="B28" s="2">
        <v>1</v>
      </c>
      <c r="C28" s="3">
        <v>4</v>
      </c>
      <c r="D28" s="3">
        <v>1</v>
      </c>
      <c r="E28" s="8">
        <f>B22*B28+C22*C28</f>
        <v>-2.6485000000000003</v>
      </c>
      <c r="F28" s="8">
        <f t="shared" si="4"/>
        <v>14.13</v>
      </c>
      <c r="G28" s="20">
        <f>ROUND((1/(1+F28)),2)</f>
        <v>7.0000000000000007E-2</v>
      </c>
      <c r="H28" s="8">
        <f t="shared" si="5"/>
        <v>1.1499999999999999</v>
      </c>
      <c r="I28" s="21">
        <f>B28*G28</f>
        <v>7.0000000000000007E-2</v>
      </c>
      <c r="J28" s="17"/>
      <c r="K28" s="8">
        <f>C28*G28</f>
        <v>0.28000000000000003</v>
      </c>
      <c r="L28" s="18"/>
      <c r="M28" s="13"/>
      <c r="N28" s="13"/>
      <c r="O28" s="13"/>
      <c r="P28" s="13"/>
    </row>
    <row r="29" spans="2:16" x14ac:dyDescent="0.3">
      <c r="H29" s="22">
        <f>SUM(H25:H28)</f>
        <v>2.3899999999999997</v>
      </c>
    </row>
    <row r="31" spans="2:16" x14ac:dyDescent="0.3">
      <c r="B31" s="1" t="s">
        <v>8</v>
      </c>
      <c r="C31" s="1" t="s">
        <v>9</v>
      </c>
    </row>
    <row r="32" spans="2:16" x14ac:dyDescent="0.3">
      <c r="B32" s="10">
        <v>0.1105</v>
      </c>
      <c r="C32" s="10">
        <v>-0.82025000000000003</v>
      </c>
    </row>
    <row r="33" spans="2:16" ht="15" thickBot="1" x14ac:dyDescent="0.35"/>
    <row r="34" spans="2:16" ht="15" thickBot="1" x14ac:dyDescent="0.35">
      <c r="B34" s="4" t="s">
        <v>10</v>
      </c>
      <c r="C34" s="5" t="s">
        <v>11</v>
      </c>
      <c r="D34" s="5" t="s">
        <v>12</v>
      </c>
      <c r="E34" s="6" t="s">
        <v>13</v>
      </c>
      <c r="F34" s="6" t="s">
        <v>14</v>
      </c>
      <c r="G34" s="6" t="s">
        <v>0</v>
      </c>
      <c r="H34" s="6" t="s">
        <v>1</v>
      </c>
      <c r="I34" s="14" t="s">
        <v>2</v>
      </c>
      <c r="J34" s="15"/>
      <c r="K34" s="14" t="s">
        <v>3</v>
      </c>
      <c r="L34" s="15"/>
      <c r="M34" s="7" t="s">
        <v>4</v>
      </c>
      <c r="N34" s="7" t="s">
        <v>5</v>
      </c>
      <c r="O34" s="7" t="s">
        <v>6</v>
      </c>
      <c r="P34" s="7" t="s">
        <v>7</v>
      </c>
    </row>
    <row r="35" spans="2:16" ht="15" thickBot="1" x14ac:dyDescent="0.35">
      <c r="B35" s="2">
        <v>1</v>
      </c>
      <c r="C35" s="3">
        <v>1</v>
      </c>
      <c r="D35" s="3">
        <v>0</v>
      </c>
      <c r="E35" s="8">
        <f>$B$3*$B$6+C32*C35</f>
        <v>-0.42025000000000001</v>
      </c>
      <c r="F35" s="8">
        <f>ROUND(EXP(-1*E35),2)</f>
        <v>1.52</v>
      </c>
      <c r="G35" s="8">
        <f>ROUND((1/(1+F35)),2)</f>
        <v>0.4</v>
      </c>
      <c r="H35" s="8">
        <f>ROUND(-1*D35*(LOG(G35,10))-(1-D35)*LOG(1-G35,10),2)</f>
        <v>0.22</v>
      </c>
      <c r="I35" s="8">
        <f>B35*G35</f>
        <v>0.4</v>
      </c>
      <c r="J35" s="17">
        <f>1/4*(SUM(I35:I38))</f>
        <v>0.17750000000000002</v>
      </c>
      <c r="K35" s="8">
        <f>C35*G35</f>
        <v>0.4</v>
      </c>
      <c r="L35" s="18">
        <f>1/4*(SUM(K35:K38))</f>
        <v>0.29749999999999999</v>
      </c>
      <c r="M35" s="16">
        <v>0.3</v>
      </c>
      <c r="N35" s="16"/>
      <c r="O35" s="11">
        <f>B32-M36</f>
        <v>5.7249999999999995E-2</v>
      </c>
      <c r="P35" s="11">
        <f>C32-N36</f>
        <v>-0.90949999999999998</v>
      </c>
    </row>
    <row r="36" spans="2:16" ht="15" thickBot="1" x14ac:dyDescent="0.35">
      <c r="B36" s="2">
        <v>1</v>
      </c>
      <c r="C36" s="3">
        <v>2</v>
      </c>
      <c r="D36" s="3">
        <v>0</v>
      </c>
      <c r="E36" s="8">
        <f>B32*B36+C32*C36</f>
        <v>-1.53</v>
      </c>
      <c r="F36" s="8">
        <f t="shared" ref="F36:F38" si="6">ROUND(EXP(-1*E36),2)</f>
        <v>4.62</v>
      </c>
      <c r="G36" s="8">
        <f>ROUND((1/(1+F36)),2)</f>
        <v>0.18</v>
      </c>
      <c r="H36" s="8">
        <f t="shared" ref="H36:H38" si="7">ROUND(-1*D36*(LOG(G36,10))-(1-D36)*LOG(1-G36,10),2)</f>
        <v>0.09</v>
      </c>
      <c r="I36" s="8">
        <f>B36*G36</f>
        <v>0.18</v>
      </c>
      <c r="J36" s="17"/>
      <c r="K36" s="8">
        <f>C36*G36</f>
        <v>0.36</v>
      </c>
      <c r="L36" s="18"/>
      <c r="M36" s="11">
        <f>M35*J35</f>
        <v>5.3250000000000006E-2</v>
      </c>
      <c r="N36" s="11">
        <f>M35*L35</f>
        <v>8.9249999999999996E-2</v>
      </c>
      <c r="O36" s="12"/>
      <c r="P36" s="12"/>
    </row>
    <row r="37" spans="2:16" ht="15" thickBot="1" x14ac:dyDescent="0.35">
      <c r="B37" s="2">
        <v>1</v>
      </c>
      <c r="C37" s="3">
        <v>3</v>
      </c>
      <c r="D37" s="3">
        <v>1</v>
      </c>
      <c r="E37" s="8">
        <f>B32*B37+C32*C37</f>
        <v>-2.35025</v>
      </c>
      <c r="F37" s="8">
        <f t="shared" si="6"/>
        <v>10.49</v>
      </c>
      <c r="G37" s="8">
        <f>ROUND((1/(1+F37)),2)</f>
        <v>0.09</v>
      </c>
      <c r="H37" s="19">
        <f t="shared" si="7"/>
        <v>1.05</v>
      </c>
      <c r="I37" s="8">
        <f>B37*G37</f>
        <v>0.09</v>
      </c>
      <c r="J37" s="17"/>
      <c r="K37" s="8">
        <f>C37*G37</f>
        <v>0.27</v>
      </c>
      <c r="L37" s="18"/>
      <c r="M37" s="12"/>
      <c r="N37" s="12"/>
      <c r="O37" s="12"/>
      <c r="P37" s="12"/>
    </row>
    <row r="38" spans="2:16" ht="15" thickBot="1" x14ac:dyDescent="0.35">
      <c r="B38" s="2">
        <v>1</v>
      </c>
      <c r="C38" s="3">
        <v>4</v>
      </c>
      <c r="D38" s="3">
        <v>1</v>
      </c>
      <c r="E38" s="8">
        <f>B32*B38+C32*C38</f>
        <v>-3.1705000000000001</v>
      </c>
      <c r="F38" s="8">
        <f t="shared" si="6"/>
        <v>23.82</v>
      </c>
      <c r="G38" s="20">
        <f>ROUND((1/(1+F38)),2)</f>
        <v>0.04</v>
      </c>
      <c r="H38" s="8">
        <f t="shared" si="7"/>
        <v>1.4</v>
      </c>
      <c r="I38" s="21">
        <f>B38*G38</f>
        <v>0.04</v>
      </c>
      <c r="J38" s="17"/>
      <c r="K38" s="8">
        <f>C38*G38</f>
        <v>0.16</v>
      </c>
      <c r="L38" s="18"/>
      <c r="M38" s="13"/>
      <c r="N38" s="13"/>
      <c r="O38" s="13"/>
      <c r="P38" s="13"/>
    </row>
    <row r="39" spans="2:16" x14ac:dyDescent="0.3">
      <c r="H39" s="22">
        <f>SUM(H35:H38)</f>
        <v>2.76</v>
      </c>
    </row>
    <row r="41" spans="2:16" x14ac:dyDescent="0.3">
      <c r="B41" s="1" t="s">
        <v>8</v>
      </c>
      <c r="C41" s="1" t="s">
        <v>9</v>
      </c>
    </row>
    <row r="42" spans="2:16" x14ac:dyDescent="0.3">
      <c r="B42" s="10">
        <v>5.7250000000000002E-2</v>
      </c>
      <c r="C42" s="10">
        <v>-0.90949999999999998</v>
      </c>
    </row>
    <row r="43" spans="2:16" ht="15" thickBot="1" x14ac:dyDescent="0.35"/>
    <row r="44" spans="2:16" ht="15" thickBot="1" x14ac:dyDescent="0.35">
      <c r="B44" s="4" t="s">
        <v>10</v>
      </c>
      <c r="C44" s="5" t="s">
        <v>11</v>
      </c>
      <c r="D44" s="5" t="s">
        <v>12</v>
      </c>
      <c r="E44" s="6" t="s">
        <v>13</v>
      </c>
      <c r="F44" s="6" t="s">
        <v>14</v>
      </c>
      <c r="G44" s="6" t="s">
        <v>0</v>
      </c>
      <c r="H44" s="6" t="s">
        <v>1</v>
      </c>
      <c r="I44" s="14" t="s">
        <v>2</v>
      </c>
      <c r="J44" s="15"/>
      <c r="K44" s="14" t="s">
        <v>3</v>
      </c>
      <c r="L44" s="15"/>
      <c r="M44" s="7" t="s">
        <v>4</v>
      </c>
      <c r="N44" s="7" t="s">
        <v>5</v>
      </c>
      <c r="O44" s="7" t="s">
        <v>6</v>
      </c>
      <c r="P44" s="7" t="s">
        <v>7</v>
      </c>
    </row>
    <row r="45" spans="2:16" ht="15" thickBot="1" x14ac:dyDescent="0.35">
      <c r="B45" s="2">
        <v>1</v>
      </c>
      <c r="C45" s="3">
        <v>1</v>
      </c>
      <c r="D45" s="3">
        <v>0</v>
      </c>
      <c r="E45" s="8">
        <f>$B$3*$B$6+C42*C45</f>
        <v>-0.50949999999999995</v>
      </c>
      <c r="F45" s="8">
        <f>ROUND(EXP(-1*E45),2)</f>
        <v>1.66</v>
      </c>
      <c r="G45" s="8">
        <f>ROUND((1/(1+F45)),2)</f>
        <v>0.38</v>
      </c>
      <c r="H45" s="8">
        <f>ROUND(-1*D45*(LOG(G45,10))-(1-D45)*LOG(1-G45,10),2)</f>
        <v>0.21</v>
      </c>
      <c r="I45" s="8">
        <f>B45*G45</f>
        <v>0.38</v>
      </c>
      <c r="J45" s="17">
        <f>1/4*(SUM(I45:I48))</f>
        <v>0.15500000000000003</v>
      </c>
      <c r="K45" s="8">
        <f>C45*G45</f>
        <v>0.38</v>
      </c>
      <c r="L45" s="18">
        <f>1/4*(SUM(K45:K48))</f>
        <v>0.24499999999999997</v>
      </c>
      <c r="M45" s="16">
        <v>0.3</v>
      </c>
      <c r="N45" s="16"/>
      <c r="O45" s="11">
        <f>B42-M46</f>
        <v>1.0749999999999996E-2</v>
      </c>
      <c r="P45" s="11">
        <f>C42-N46</f>
        <v>-0.98299999999999998</v>
      </c>
    </row>
    <row r="46" spans="2:16" ht="15" thickBot="1" x14ac:dyDescent="0.35">
      <c r="B46" s="2">
        <v>1</v>
      </c>
      <c r="C46" s="3">
        <v>2</v>
      </c>
      <c r="D46" s="3">
        <v>0</v>
      </c>
      <c r="E46" s="8">
        <f>B42*B46+C42*C46</f>
        <v>-1.7617499999999999</v>
      </c>
      <c r="F46" s="8">
        <f t="shared" ref="F46:F48" si="8">ROUND(EXP(-1*E46),2)</f>
        <v>5.82</v>
      </c>
      <c r="G46" s="8">
        <f>ROUND((1/(1+F46)),2)</f>
        <v>0.15</v>
      </c>
      <c r="H46" s="8">
        <f t="shared" ref="H46:H48" si="9">ROUND(-1*D46*(LOG(G46,10))-(1-D46)*LOG(1-G46,10),2)</f>
        <v>7.0000000000000007E-2</v>
      </c>
      <c r="I46" s="8">
        <f>B46*G46</f>
        <v>0.15</v>
      </c>
      <c r="J46" s="17"/>
      <c r="K46" s="8">
        <f>C46*G46</f>
        <v>0.3</v>
      </c>
      <c r="L46" s="18"/>
      <c r="M46" s="11">
        <f>M45*J45</f>
        <v>4.6500000000000007E-2</v>
      </c>
      <c r="N46" s="11">
        <f>M45*L45</f>
        <v>7.3499999999999982E-2</v>
      </c>
      <c r="O46" s="12"/>
      <c r="P46" s="12"/>
    </row>
    <row r="47" spans="2:16" ht="15" thickBot="1" x14ac:dyDescent="0.35">
      <c r="B47" s="2">
        <v>1</v>
      </c>
      <c r="C47" s="3">
        <v>3</v>
      </c>
      <c r="D47" s="3">
        <v>1</v>
      </c>
      <c r="E47" s="8">
        <f>B42*B47+C42*C47</f>
        <v>-2.6712500000000001</v>
      </c>
      <c r="F47" s="8">
        <f t="shared" si="8"/>
        <v>14.46</v>
      </c>
      <c r="G47" s="8">
        <f>ROUND((1/(1+F47)),2)</f>
        <v>0.06</v>
      </c>
      <c r="H47" s="19">
        <f t="shared" si="9"/>
        <v>1.22</v>
      </c>
      <c r="I47" s="8">
        <f>B47*G47</f>
        <v>0.06</v>
      </c>
      <c r="J47" s="17"/>
      <c r="K47" s="8">
        <f>C47*G47</f>
        <v>0.18</v>
      </c>
      <c r="L47" s="18"/>
      <c r="M47" s="12"/>
      <c r="N47" s="12"/>
      <c r="O47" s="12"/>
      <c r="P47" s="12"/>
    </row>
    <row r="48" spans="2:16" ht="15" thickBot="1" x14ac:dyDescent="0.35">
      <c r="B48" s="2">
        <v>1</v>
      </c>
      <c r="C48" s="3">
        <v>4</v>
      </c>
      <c r="D48" s="3">
        <v>1</v>
      </c>
      <c r="E48" s="8">
        <f>B42*B48+C42*C48</f>
        <v>-3.5807500000000001</v>
      </c>
      <c r="F48" s="8">
        <f t="shared" si="8"/>
        <v>35.9</v>
      </c>
      <c r="G48" s="20">
        <f>ROUND((1/(1+F48)),2)</f>
        <v>0.03</v>
      </c>
      <c r="H48" s="8">
        <f t="shared" si="9"/>
        <v>1.52</v>
      </c>
      <c r="I48" s="21">
        <f>B48*G48</f>
        <v>0.03</v>
      </c>
      <c r="J48" s="17"/>
      <c r="K48" s="8">
        <f>C48*G48</f>
        <v>0.12</v>
      </c>
      <c r="L48" s="18"/>
      <c r="M48" s="13"/>
      <c r="N48" s="13"/>
      <c r="O48" s="13"/>
      <c r="P48" s="13"/>
    </row>
    <row r="49" spans="8:8" x14ac:dyDescent="0.3">
      <c r="H49" s="22">
        <f>SUM(H45:H48)</f>
        <v>3.02</v>
      </c>
    </row>
  </sheetData>
  <mergeCells count="45">
    <mergeCell ref="J45:J48"/>
    <mergeCell ref="L45:L48"/>
    <mergeCell ref="M45:N45"/>
    <mergeCell ref="O45:O48"/>
    <mergeCell ref="P45:P48"/>
    <mergeCell ref="M46:M48"/>
    <mergeCell ref="N46:N48"/>
    <mergeCell ref="O35:O38"/>
    <mergeCell ref="P35:P38"/>
    <mergeCell ref="M36:M38"/>
    <mergeCell ref="N36:N38"/>
    <mergeCell ref="I44:J44"/>
    <mergeCell ref="K44:L44"/>
    <mergeCell ref="I34:J34"/>
    <mergeCell ref="K34:L34"/>
    <mergeCell ref="J35:J38"/>
    <mergeCell ref="L35:L38"/>
    <mergeCell ref="M35:N35"/>
    <mergeCell ref="J25:J28"/>
    <mergeCell ref="L25:L28"/>
    <mergeCell ref="M25:N25"/>
    <mergeCell ref="O25:O28"/>
    <mergeCell ref="P25:P28"/>
    <mergeCell ref="M26:M28"/>
    <mergeCell ref="N26:N28"/>
    <mergeCell ref="O15:O18"/>
    <mergeCell ref="P15:P18"/>
    <mergeCell ref="M16:M18"/>
    <mergeCell ref="N16:N18"/>
    <mergeCell ref="I24:J24"/>
    <mergeCell ref="K24:L24"/>
    <mergeCell ref="I14:J14"/>
    <mergeCell ref="K14:L14"/>
    <mergeCell ref="J15:J18"/>
    <mergeCell ref="L15:L18"/>
    <mergeCell ref="M15:N15"/>
    <mergeCell ref="O6:O9"/>
    <mergeCell ref="P6:P9"/>
    <mergeCell ref="I5:J5"/>
    <mergeCell ref="K5:L5"/>
    <mergeCell ref="M6:N6"/>
    <mergeCell ref="J6:J9"/>
    <mergeCell ref="L6:L9"/>
    <mergeCell ref="M7:M9"/>
    <mergeCell ref="N7:N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Hafeez</dc:creator>
  <cp:lastModifiedBy>Mr.Hafeez Anwar</cp:lastModifiedBy>
  <dcterms:created xsi:type="dcterms:W3CDTF">2025-09-21T03:47:00Z</dcterms:created>
  <dcterms:modified xsi:type="dcterms:W3CDTF">2025-09-29T07:24:00Z</dcterms:modified>
</cp:coreProperties>
</file>